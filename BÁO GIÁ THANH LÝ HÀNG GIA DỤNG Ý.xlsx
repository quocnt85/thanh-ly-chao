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/>
  <xr:revisionPtr revIDLastSave="0" documentId="8_{F803C067-E760-4703-9BEC-F6D5D31D88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1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<sst xmlns="http://schemas.openxmlformats.org/spreadsheetml/2006/main" count="235" uniqueCount="89">
  <si>
    <t>Mã số</t>
  </si>
  <si>
    <t>Mặt hàng</t>
  </si>
  <si>
    <t>Đơn vị</t>
  </si>
  <si>
    <t>SỐ LƯỢNG THANH LÝ</t>
  </si>
  <si>
    <t>Giá</t>
  </si>
  <si>
    <t>Tổng</t>
  </si>
  <si>
    <t>Ảnh</t>
  </si>
  <si>
    <t>QUY CÁCH</t>
  </si>
  <si>
    <t>Chú thích</t>
  </si>
  <si>
    <t>Chảo Blackbeauty 20</t>
  </si>
  <si>
    <t>Chiếc</t>
  </si>
  <si>
    <t>Có</t>
  </si>
  <si>
    <t>6C/THÙNG</t>
  </si>
  <si>
    <t>Chảo Blackbeauty 24</t>
  </si>
  <si>
    <t>Xoong bột Blackstone 14</t>
  </si>
  <si>
    <t>12C/THÙNG</t>
  </si>
  <si>
    <t>Chảo Blackstone 16</t>
  </si>
  <si>
    <t>Chảo Blackstone 18</t>
  </si>
  <si>
    <t>Chảo Blackstone 20</t>
  </si>
  <si>
    <t>Chảo Blackstone 22</t>
  </si>
  <si>
    <t>Chảo Blackstone 24</t>
  </si>
  <si>
    <t>Chảo Blackstone 26</t>
  </si>
  <si>
    <t>Nồi Blackstone 20 + vung</t>
  </si>
  <si>
    <t>Nồi Blackstone 24 + vung</t>
  </si>
  <si>
    <t>Nồi Turtle 20 + VK</t>
  </si>
  <si>
    <t>CÓ</t>
  </si>
  <si>
    <t>Chảo 2 quai Turtle + VK</t>
  </si>
  <si>
    <t>4C/THÙNG</t>
  </si>
  <si>
    <t>Chảo kép Turtle 24</t>
  </si>
  <si>
    <t>Chảo Turtle 20</t>
  </si>
  <si>
    <t>Chảo Velvet 18</t>
  </si>
  <si>
    <t>Chảo Velvet 20</t>
  </si>
  <si>
    <t>Chảo Velvet 24</t>
  </si>
  <si>
    <t>Chảo Velvet 26</t>
  </si>
  <si>
    <t>Chảo Velvet 28</t>
  </si>
  <si>
    <t>Xoong Velvet 14</t>
  </si>
  <si>
    <t>Nồi Velvet 22</t>
  </si>
  <si>
    <t>Vung kính Velvet 22</t>
  </si>
  <si>
    <t>Nồi Velvet 24</t>
  </si>
  <si>
    <t>Vung kính Velvet 24</t>
  </si>
  <si>
    <t>Xoong Basilico 16</t>
  </si>
  <si>
    <t>Chảo Basilico 20</t>
  </si>
  <si>
    <t>Chảo Basilico 24</t>
  </si>
  <si>
    <t>Chảo Basilico 26</t>
  </si>
  <si>
    <t>Chảo Basilico 28</t>
  </si>
  <si>
    <t>Nồi Ecochic 20</t>
  </si>
  <si>
    <t>Vung Ecochic 20</t>
  </si>
  <si>
    <t>Nồi Nuvola 20</t>
  </si>
  <si>
    <t>HÀNG GỐM</t>
  </si>
  <si>
    <t>Vung kính Nuvola 20</t>
  </si>
  <si>
    <t xml:space="preserve">Chảo Easy Pretty 20 </t>
  </si>
  <si>
    <t>có</t>
  </si>
  <si>
    <t>Chảo Mezzogiorno 20</t>
  </si>
  <si>
    <t>Chảo Mezzogiorno 26</t>
  </si>
  <si>
    <t>Vung kính Mezzogiorno 16</t>
  </si>
  <si>
    <t>Nồi Mezzogiorno 20</t>
  </si>
  <si>
    <t>Vung kính Mezzogiorno 20</t>
  </si>
  <si>
    <t>Vung kính Isotta 16</t>
  </si>
  <si>
    <t>TẶNG, NẾU CÒN</t>
  </si>
  <si>
    <t>Vung kính Sofia 20</t>
  </si>
  <si>
    <t>KÈM NỒI ECOCHIC 20</t>
  </si>
  <si>
    <t>Vung kính Sofia 24</t>
  </si>
  <si>
    <t>Bình thủy Igloo 0.5L</t>
  </si>
  <si>
    <t>Bình thủy Venezia 1.5L</t>
  </si>
  <si>
    <t>Bình thủy Artic 2.8L</t>
  </si>
  <si>
    <t>Lọ Prim 4.25L</t>
  </si>
  <si>
    <t>TẶNG LẤY CHẢO</t>
  </si>
  <si>
    <t>Lọ Prim 3.1L</t>
  </si>
  <si>
    <t>Lọ Prim 2L</t>
  </si>
  <si>
    <t>Lọ Prim 1L</t>
  </si>
  <si>
    <t>Lọ nắp nhựa Cucina 1L</t>
  </si>
  <si>
    <t>Lọ Terrine 0.5L</t>
  </si>
  <si>
    <t>Lọ Terrine 1L</t>
  </si>
  <si>
    <t>TẶNG LẤY CỐC PALLADIO</t>
  </si>
  <si>
    <t>Bộ cốc Palladio 420L</t>
  </si>
  <si>
    <t>Bộ</t>
  </si>
  <si>
    <t>6C/HỘP</t>
  </si>
  <si>
    <t xml:space="preserve">Bộ ly 6 c Ducale </t>
  </si>
  <si>
    <t>6C/ HỘP</t>
  </si>
  <si>
    <t>TẶNG LẤY CỐC EX</t>
  </si>
  <si>
    <t>Bộ cốc Excalibur</t>
  </si>
  <si>
    <t>3C/VỈ</t>
  </si>
  <si>
    <t>Vắt cam</t>
  </si>
  <si>
    <t>Bộ cốc Bibita 3c</t>
  </si>
  <si>
    <t>TẶNG</t>
  </si>
  <si>
    <t xml:space="preserve">GIÁ CHƯA BAO GỒM VAT &amp; CHI PHÍ VẬN CHUYỂN. GIÁ  THANH LÝ  DỌN KHO CÒN RẺ HƠN NHIỀU SO VỚI GIÁ BÁN TẠI XƯỞNG Ở Ý. </t>
  </si>
  <si>
    <t xml:space="preserve">GIÁ THANH LÝ CHỈ ÁP DỤNG NẾU MUA HẾT TỪNG LOẠI MẶT HÀNG. MUA HẾT KHO GIẢM TIẾP. </t>
  </si>
  <si>
    <t xml:space="preserve">HÀNG XOONG CHẢO: HÃNG TVS CAO CẤP HÀNG ĐẦU CỦA ITALY, BỀN ĐẸP DÙNG VÀI NĂM KHÔNG HỎNG. KHÔNG PHẢI HÀNG ĐẠI TRÀ TRÊN THỊ TRƯỜNG. </t>
  </si>
  <si>
    <t xml:space="preserve">HÀNG THUỶ TINH: HÃNG BORGONOVO Ý - THUỶ TINH KHÔNG CHÌ, RẤT AN TOÀN VỚI SỨC KHOẺ. BỀN, ĐẸP.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</si>
</sst>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41" fontId="2" fillId="0" borderId="1" xfId="1" applyFont="1" applyBorder="1" applyAlignment="1">
      <alignment horizontal="center"/>
    </xf>
    <xf numFmtId="0" fontId="0" fillId="0" borderId="1" xfId="0" applyBorder="1"/>
    <xf numFmtId="41" fontId="0" fillId="0" borderId="1" xfId="1" applyFont="1" applyBorder="1"/>
    <xf numFmtId="41" fontId="0" fillId="0" borderId="1" xfId="1" applyFont="1" applyBorder="1" applyAlignment="1">
      <alignment horizontal="center"/>
    </xf>
    <xf numFmtId="41" fontId="0" fillId="0" borderId="2" xfId="1" applyFont="1" applyBorder="1" applyAlignment="1">
      <alignment horizontal="center"/>
    </xf>
    <xf numFmtId="41" fontId="0" fillId="0" borderId="3" xfId="1" applyFont="1" applyBorder="1" applyAlignment="1">
      <alignment horizontal="center"/>
    </xf>
    <xf numFmtId="41" fontId="0" fillId="0" borderId="4" xfId="1" applyFont="1" applyBorder="1" applyAlignment="1">
      <alignment horizontal="center"/>
    </xf>
    <xf numFmtId="0" fontId="0" fillId="2" borderId="1" xfId="0" applyFill="1" applyBorder="1"/>
    <xf numFmtId="41" fontId="0" fillId="0" borderId="4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&#224;ng%20t&#7891;n%20V&#361;%20Gia%20Thanh%20l&#2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óm giá thanh lý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43" workbookViewId="0">
      <selection activeCell="E57" sqref="E57"/>
    </sheetView>
  </sheetViews>
  <sheetFormatPr defaultRowHeight="15"/>
  <cols>
    <col min="1" max="1" width="6.7109375" bestFit="1" customWidth="1"/>
    <col min="2" max="2" width="27.85546875" customWidth="1"/>
    <col min="4" max="4" width="23.28515625" customWidth="1"/>
    <col min="5" max="5" width="9.140625" style="14"/>
    <col min="6" max="6" width="11.7109375" bestFit="1" customWidth="1"/>
    <col min="8" max="8" width="12.5703125" bestFit="1" customWidth="1"/>
    <col min="9" max="9" width="27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1</v>
      </c>
      <c r="B2" s="3" t="s">
        <v>9</v>
      </c>
      <c r="C2" s="3" t="s">
        <v>10</v>
      </c>
      <c r="D2" s="3">
        <v>33</v>
      </c>
      <c r="E2" s="5">
        <v>120000</v>
      </c>
      <c r="F2" s="4">
        <f>E2*D2</f>
        <v>3960000</v>
      </c>
      <c r="G2" s="5" t="s">
        <v>11</v>
      </c>
      <c r="H2" s="5" t="s">
        <v>12</v>
      </c>
      <c r="I2" s="4"/>
    </row>
    <row r="3" spans="1:9">
      <c r="A3" s="3">
        <v>2</v>
      </c>
      <c r="B3" s="3" t="s">
        <v>13</v>
      </c>
      <c r="C3" s="3" t="s">
        <v>10</v>
      </c>
      <c r="D3" s="3">
        <v>12</v>
      </c>
      <c r="E3" s="5">
        <v>120000</v>
      </c>
      <c r="F3" s="4">
        <f t="shared" ref="F3:F59" si="0">E3*D3</f>
        <v>1440000</v>
      </c>
      <c r="G3" s="5" t="s">
        <v>11</v>
      </c>
      <c r="H3" s="5" t="s">
        <v>12</v>
      </c>
      <c r="I3" s="4"/>
    </row>
    <row r="4" spans="1:9">
      <c r="A4" s="3">
        <v>6</v>
      </c>
      <c r="B4" s="3" t="s">
        <v>14</v>
      </c>
      <c r="C4" s="3" t="s">
        <v>10</v>
      </c>
      <c r="D4" s="3">
        <v>277</v>
      </c>
      <c r="E4" s="5">
        <v>60000</v>
      </c>
      <c r="F4" s="4">
        <f t="shared" si="0"/>
        <v>16620000</v>
      </c>
      <c r="G4" s="5" t="s">
        <v>11</v>
      </c>
      <c r="H4" s="5" t="s">
        <v>15</v>
      </c>
      <c r="I4" s="4"/>
    </row>
    <row r="5" spans="1:9">
      <c r="A5" s="3">
        <v>7</v>
      </c>
      <c r="B5" s="3" t="s">
        <v>16</v>
      </c>
      <c r="C5" s="3" t="s">
        <v>10</v>
      </c>
      <c r="D5" s="3">
        <v>221</v>
      </c>
      <c r="E5" s="5">
        <v>100000</v>
      </c>
      <c r="F5" s="4">
        <f t="shared" si="0"/>
        <v>22100000</v>
      </c>
      <c r="G5" s="6" t="s">
        <v>11</v>
      </c>
      <c r="H5" s="5" t="s">
        <v>15</v>
      </c>
      <c r="I5" s="6"/>
    </row>
    <row r="6" spans="1:9">
      <c r="A6" s="3">
        <v>8</v>
      </c>
      <c r="B6" s="3" t="s">
        <v>17</v>
      </c>
      <c r="C6" s="3" t="s">
        <v>10</v>
      </c>
      <c r="D6" s="3">
        <v>15</v>
      </c>
      <c r="E6" s="5">
        <v>60000</v>
      </c>
      <c r="F6" s="4">
        <f t="shared" si="0"/>
        <v>900000</v>
      </c>
      <c r="G6" s="7"/>
      <c r="H6" s="5" t="s">
        <v>12</v>
      </c>
      <c r="I6" s="7"/>
    </row>
    <row r="7" spans="1:9">
      <c r="A7" s="3">
        <v>9</v>
      </c>
      <c r="B7" s="3" t="s">
        <v>18</v>
      </c>
      <c r="C7" s="3" t="s">
        <v>10</v>
      </c>
      <c r="D7" s="3">
        <v>19</v>
      </c>
      <c r="E7" s="5">
        <v>60000</v>
      </c>
      <c r="F7" s="4">
        <f t="shared" si="0"/>
        <v>1140000</v>
      </c>
      <c r="G7" s="7"/>
      <c r="H7" s="5" t="s">
        <v>12</v>
      </c>
      <c r="I7" s="7"/>
    </row>
    <row r="8" spans="1:9">
      <c r="A8" s="3">
        <v>10</v>
      </c>
      <c r="B8" s="3" t="s">
        <v>19</v>
      </c>
      <c r="C8" s="3" t="s">
        <v>10</v>
      </c>
      <c r="D8" s="3">
        <v>11</v>
      </c>
      <c r="E8" s="5">
        <v>60000</v>
      </c>
      <c r="F8" s="4">
        <f t="shared" si="0"/>
        <v>660000</v>
      </c>
      <c r="G8" s="7"/>
      <c r="H8" s="5" t="s">
        <v>12</v>
      </c>
      <c r="I8" s="7"/>
    </row>
    <row r="9" spans="1:9">
      <c r="A9" s="3">
        <v>11</v>
      </c>
      <c r="B9" s="3" t="s">
        <v>20</v>
      </c>
      <c r="C9" s="3" t="s">
        <v>10</v>
      </c>
      <c r="D9" s="3">
        <v>15</v>
      </c>
      <c r="E9" s="5">
        <v>60000</v>
      </c>
      <c r="F9" s="4">
        <f t="shared" si="0"/>
        <v>900000</v>
      </c>
      <c r="G9" s="7"/>
      <c r="H9" s="5" t="s">
        <v>12</v>
      </c>
      <c r="I9" s="7"/>
    </row>
    <row r="10" spans="1:9">
      <c r="A10" s="3">
        <v>12</v>
      </c>
      <c r="B10" s="3" t="s">
        <v>21</v>
      </c>
      <c r="C10" s="3" t="s">
        <v>10</v>
      </c>
      <c r="D10" s="3">
        <v>25</v>
      </c>
      <c r="E10" s="5">
        <v>100000</v>
      </c>
      <c r="F10" s="4">
        <f t="shared" si="0"/>
        <v>2500000</v>
      </c>
      <c r="G10" s="8"/>
      <c r="H10" s="5" t="s">
        <v>12</v>
      </c>
      <c r="I10" s="8"/>
    </row>
    <row r="11" spans="1:9">
      <c r="A11" s="3">
        <v>13</v>
      </c>
      <c r="B11" s="3" t="s">
        <v>22</v>
      </c>
      <c r="C11" s="3" t="s">
        <v>10</v>
      </c>
      <c r="D11" s="3">
        <v>8</v>
      </c>
      <c r="E11" s="5">
        <v>120000</v>
      </c>
      <c r="F11" s="4">
        <f t="shared" si="0"/>
        <v>960000</v>
      </c>
      <c r="G11" s="5" t="s">
        <v>11</v>
      </c>
      <c r="H11" s="5" t="s">
        <v>12</v>
      </c>
      <c r="I11" s="4"/>
    </row>
    <row r="12" spans="1:9">
      <c r="A12" s="3">
        <v>14</v>
      </c>
      <c r="B12" s="3" t="s">
        <v>23</v>
      </c>
      <c r="C12" s="3" t="s">
        <v>10</v>
      </c>
      <c r="D12" s="3">
        <v>23</v>
      </c>
      <c r="E12" s="5">
        <v>120000</v>
      </c>
      <c r="F12" s="4">
        <f t="shared" si="0"/>
        <v>2760000</v>
      </c>
      <c r="G12" s="5" t="s">
        <v>11</v>
      </c>
      <c r="H12" s="5" t="s">
        <v>12</v>
      </c>
      <c r="I12" s="4"/>
    </row>
    <row r="13" spans="1:9">
      <c r="A13" s="3">
        <v>16</v>
      </c>
      <c r="B13" s="3" t="s">
        <v>24</v>
      </c>
      <c r="C13" s="3" t="s">
        <v>10</v>
      </c>
      <c r="D13" s="3">
        <v>4</v>
      </c>
      <c r="E13" s="5">
        <v>140000</v>
      </c>
      <c r="F13" s="4">
        <f t="shared" si="0"/>
        <v>560000</v>
      </c>
      <c r="G13" s="5" t="s">
        <v>25</v>
      </c>
      <c r="H13" s="5" t="s">
        <v>12</v>
      </c>
      <c r="I13" s="4"/>
    </row>
    <row r="14" spans="1:9">
      <c r="A14" s="3">
        <v>19</v>
      </c>
      <c r="B14" s="3" t="s">
        <v>26</v>
      </c>
      <c r="C14" s="3" t="s">
        <v>10</v>
      </c>
      <c r="D14" s="3">
        <v>21</v>
      </c>
      <c r="E14" s="5">
        <v>120000</v>
      </c>
      <c r="F14" s="4">
        <f t="shared" si="0"/>
        <v>2520000</v>
      </c>
      <c r="G14" s="5" t="s">
        <v>11</v>
      </c>
      <c r="H14" s="5" t="s">
        <v>27</v>
      </c>
      <c r="I14" s="4"/>
    </row>
    <row r="15" spans="1:9">
      <c r="A15" s="3">
        <v>20</v>
      </c>
      <c r="B15" s="3" t="s">
        <v>28</v>
      </c>
      <c r="C15" s="3" t="s">
        <v>10</v>
      </c>
      <c r="D15" s="3">
        <v>9</v>
      </c>
      <c r="E15" s="5">
        <v>120000</v>
      </c>
      <c r="F15" s="4">
        <f t="shared" si="0"/>
        <v>1080000</v>
      </c>
      <c r="G15" s="5" t="s">
        <v>11</v>
      </c>
      <c r="H15" s="5" t="s">
        <v>12</v>
      </c>
      <c r="I15" s="4"/>
    </row>
    <row r="16" spans="1:9">
      <c r="A16" s="3">
        <v>21</v>
      </c>
      <c r="B16" s="3" t="s">
        <v>29</v>
      </c>
      <c r="C16" s="3" t="s">
        <v>10</v>
      </c>
      <c r="D16" s="3">
        <v>48</v>
      </c>
      <c r="E16" s="5">
        <v>100000</v>
      </c>
      <c r="F16" s="4">
        <f t="shared" si="0"/>
        <v>4800000</v>
      </c>
      <c r="G16" s="5" t="s">
        <v>25</v>
      </c>
      <c r="H16" s="5" t="s">
        <v>12</v>
      </c>
      <c r="I16" s="4"/>
    </row>
    <row r="17" spans="1:9">
      <c r="A17" s="3">
        <v>25</v>
      </c>
      <c r="B17" s="3" t="s">
        <v>30</v>
      </c>
      <c r="C17" s="3" t="s">
        <v>10</v>
      </c>
      <c r="D17" s="3">
        <v>90</v>
      </c>
      <c r="E17" s="5">
        <v>60000</v>
      </c>
      <c r="F17" s="4">
        <f t="shared" si="0"/>
        <v>5400000</v>
      </c>
      <c r="G17" s="6" t="s">
        <v>11</v>
      </c>
      <c r="H17" s="5" t="s">
        <v>12</v>
      </c>
      <c r="I17" s="6"/>
    </row>
    <row r="18" spans="1:9">
      <c r="A18" s="3">
        <v>26</v>
      </c>
      <c r="B18" s="3" t="s">
        <v>31</v>
      </c>
      <c r="C18" s="3" t="s">
        <v>10</v>
      </c>
      <c r="D18" s="3">
        <v>37</v>
      </c>
      <c r="E18" s="5">
        <v>100000</v>
      </c>
      <c r="F18" s="4">
        <f t="shared" si="0"/>
        <v>3700000</v>
      </c>
      <c r="G18" s="7"/>
      <c r="H18" s="5" t="s">
        <v>12</v>
      </c>
      <c r="I18" s="7"/>
    </row>
    <row r="19" spans="1:9">
      <c r="A19" s="3">
        <v>27</v>
      </c>
      <c r="B19" s="3" t="s">
        <v>32</v>
      </c>
      <c r="C19" s="3" t="s">
        <v>10</v>
      </c>
      <c r="D19" s="3">
        <v>105</v>
      </c>
      <c r="E19" s="5">
        <v>100000</v>
      </c>
      <c r="F19" s="4">
        <f t="shared" si="0"/>
        <v>10500000</v>
      </c>
      <c r="G19" s="7"/>
      <c r="H19" s="5" t="s">
        <v>12</v>
      </c>
      <c r="I19" s="7"/>
    </row>
    <row r="20" spans="1:9">
      <c r="A20" s="3">
        <v>28</v>
      </c>
      <c r="B20" s="3" t="s">
        <v>33</v>
      </c>
      <c r="C20" s="3" t="s">
        <v>10</v>
      </c>
      <c r="D20" s="3">
        <v>141</v>
      </c>
      <c r="E20" s="5">
        <v>100000</v>
      </c>
      <c r="F20" s="4">
        <f t="shared" si="0"/>
        <v>14100000</v>
      </c>
      <c r="G20" s="7"/>
      <c r="H20" s="5" t="s">
        <v>12</v>
      </c>
      <c r="I20" s="7"/>
    </row>
    <row r="21" spans="1:9">
      <c r="A21" s="3">
        <v>29</v>
      </c>
      <c r="B21" s="3" t="s">
        <v>34</v>
      </c>
      <c r="C21" s="3" t="s">
        <v>10</v>
      </c>
      <c r="D21" s="3">
        <v>270</v>
      </c>
      <c r="E21" s="5">
        <v>120000</v>
      </c>
      <c r="F21" s="4">
        <f t="shared" si="0"/>
        <v>32400000</v>
      </c>
      <c r="G21" s="8"/>
      <c r="H21" s="5" t="s">
        <v>12</v>
      </c>
      <c r="I21" s="8"/>
    </row>
    <row r="22" spans="1:9">
      <c r="A22" s="3">
        <v>30</v>
      </c>
      <c r="B22" s="3" t="s">
        <v>35</v>
      </c>
      <c r="C22" s="3" t="s">
        <v>10</v>
      </c>
      <c r="D22" s="3">
        <v>144</v>
      </c>
      <c r="E22" s="5">
        <v>100000</v>
      </c>
      <c r="F22" s="4">
        <f t="shared" si="0"/>
        <v>14400000</v>
      </c>
      <c r="G22" s="5" t="s">
        <v>11</v>
      </c>
      <c r="H22" s="5" t="s">
        <v>12</v>
      </c>
      <c r="I22" s="4"/>
    </row>
    <row r="23" spans="1:9">
      <c r="A23" s="3">
        <v>34</v>
      </c>
      <c r="B23" s="3" t="s">
        <v>36</v>
      </c>
      <c r="C23" s="3" t="s">
        <v>10</v>
      </c>
      <c r="D23" s="3">
        <v>17</v>
      </c>
      <c r="E23" s="5">
        <v>160000</v>
      </c>
      <c r="F23" s="4">
        <f t="shared" si="0"/>
        <v>2720000</v>
      </c>
      <c r="G23" s="6" t="s">
        <v>11</v>
      </c>
      <c r="H23" s="5" t="s">
        <v>12</v>
      </c>
      <c r="I23" s="6"/>
    </row>
    <row r="24" spans="1:9">
      <c r="A24" s="3">
        <v>35</v>
      </c>
      <c r="B24" s="3" t="s">
        <v>37</v>
      </c>
      <c r="C24" s="3" t="s">
        <v>10</v>
      </c>
      <c r="D24" s="3">
        <v>16</v>
      </c>
      <c r="E24" s="5"/>
      <c r="F24" s="4">
        <f t="shared" si="0"/>
        <v>0</v>
      </c>
      <c r="G24" s="8"/>
      <c r="H24" s="5" t="s">
        <v>12</v>
      </c>
      <c r="I24" s="8"/>
    </row>
    <row r="25" spans="1:9">
      <c r="A25" s="3">
        <v>36</v>
      </c>
      <c r="B25" s="3" t="s">
        <v>38</v>
      </c>
      <c r="C25" s="3" t="s">
        <v>10</v>
      </c>
      <c r="D25" s="3">
        <v>9</v>
      </c>
      <c r="E25" s="5">
        <v>140000</v>
      </c>
      <c r="F25" s="4">
        <f t="shared" si="0"/>
        <v>1260000</v>
      </c>
      <c r="G25" s="6" t="s">
        <v>25</v>
      </c>
      <c r="H25" s="5" t="s">
        <v>12</v>
      </c>
      <c r="I25" s="6"/>
    </row>
    <row r="26" spans="1:9">
      <c r="A26" s="3">
        <v>37</v>
      </c>
      <c r="B26" s="3" t="s">
        <v>39</v>
      </c>
      <c r="C26" s="3" t="s">
        <v>10</v>
      </c>
      <c r="D26" s="3">
        <v>14</v>
      </c>
      <c r="E26" s="5"/>
      <c r="F26" s="4">
        <f t="shared" si="0"/>
        <v>0</v>
      </c>
      <c r="G26" s="8"/>
      <c r="H26" s="5" t="s">
        <v>12</v>
      </c>
      <c r="I26" s="8"/>
    </row>
    <row r="27" spans="1:9">
      <c r="A27" s="3">
        <v>38</v>
      </c>
      <c r="B27" s="3" t="s">
        <v>40</v>
      </c>
      <c r="C27" s="3" t="s">
        <v>10</v>
      </c>
      <c r="D27" s="3">
        <v>98</v>
      </c>
      <c r="E27" s="5">
        <v>100000</v>
      </c>
      <c r="F27" s="4">
        <f t="shared" si="0"/>
        <v>9800000</v>
      </c>
      <c r="G27" s="5" t="s">
        <v>11</v>
      </c>
      <c r="H27" s="5" t="s">
        <v>12</v>
      </c>
      <c r="I27" s="4"/>
    </row>
    <row r="28" spans="1:9">
      <c r="A28" s="3">
        <v>39</v>
      </c>
      <c r="B28" s="3" t="s">
        <v>41</v>
      </c>
      <c r="C28" s="3" t="s">
        <v>10</v>
      </c>
      <c r="D28" s="3">
        <v>2</v>
      </c>
      <c r="E28" s="5">
        <v>100000</v>
      </c>
      <c r="F28" s="4">
        <f t="shared" si="0"/>
        <v>200000</v>
      </c>
      <c r="G28" s="6" t="s">
        <v>11</v>
      </c>
      <c r="H28" s="5" t="s">
        <v>12</v>
      </c>
      <c r="I28" s="6"/>
    </row>
    <row r="29" spans="1:9">
      <c r="A29" s="3">
        <v>40</v>
      </c>
      <c r="B29" s="3" t="s">
        <v>42</v>
      </c>
      <c r="C29" s="3" t="s">
        <v>10</v>
      </c>
      <c r="D29" s="3">
        <v>251</v>
      </c>
      <c r="E29" s="5">
        <v>100000</v>
      </c>
      <c r="F29" s="4">
        <f t="shared" si="0"/>
        <v>25100000</v>
      </c>
      <c r="G29" s="7"/>
      <c r="H29" s="5" t="s">
        <v>12</v>
      </c>
      <c r="I29" s="7"/>
    </row>
    <row r="30" spans="1:9">
      <c r="A30" s="3">
        <v>41</v>
      </c>
      <c r="B30" s="3" t="s">
        <v>43</v>
      </c>
      <c r="C30" s="3" t="s">
        <v>10</v>
      </c>
      <c r="D30" s="3">
        <v>250</v>
      </c>
      <c r="E30" s="5">
        <v>120000</v>
      </c>
      <c r="F30" s="4">
        <f t="shared" si="0"/>
        <v>30000000</v>
      </c>
      <c r="G30" s="7"/>
      <c r="H30" s="5" t="s">
        <v>12</v>
      </c>
      <c r="I30" s="7"/>
    </row>
    <row r="31" spans="1:9">
      <c r="A31" s="3">
        <v>42</v>
      </c>
      <c r="B31" s="3" t="s">
        <v>44</v>
      </c>
      <c r="C31" s="3" t="s">
        <v>10</v>
      </c>
      <c r="D31" s="3">
        <v>139</v>
      </c>
      <c r="E31" s="5">
        <v>120000</v>
      </c>
      <c r="F31" s="4">
        <f t="shared" si="0"/>
        <v>16680000</v>
      </c>
      <c r="G31" s="8"/>
      <c r="H31" s="5" t="s">
        <v>12</v>
      </c>
      <c r="I31" s="8"/>
    </row>
    <row r="32" spans="1:9">
      <c r="A32" s="3">
        <v>45</v>
      </c>
      <c r="B32" s="3" t="s">
        <v>45</v>
      </c>
      <c r="C32" s="3" t="s">
        <v>10</v>
      </c>
      <c r="D32" s="3">
        <v>14</v>
      </c>
      <c r="E32" s="5">
        <v>160000</v>
      </c>
      <c r="F32" s="4">
        <f t="shared" si="0"/>
        <v>2240000</v>
      </c>
      <c r="G32" s="6" t="s">
        <v>25</v>
      </c>
      <c r="H32" s="5" t="s">
        <v>12</v>
      </c>
      <c r="I32" s="6"/>
    </row>
    <row r="33" spans="1:9">
      <c r="A33" s="3">
        <v>46</v>
      </c>
      <c r="B33" s="3" t="s">
        <v>46</v>
      </c>
      <c r="C33" s="3" t="s">
        <v>10</v>
      </c>
      <c r="D33" s="3">
        <v>6</v>
      </c>
      <c r="E33" s="5"/>
      <c r="F33" s="4">
        <f t="shared" si="0"/>
        <v>0</v>
      </c>
      <c r="G33" s="8"/>
      <c r="H33" s="5" t="s">
        <v>12</v>
      </c>
      <c r="I33" s="8"/>
    </row>
    <row r="34" spans="1:9">
      <c r="A34" s="3">
        <v>49</v>
      </c>
      <c r="B34" s="3" t="s">
        <v>47</v>
      </c>
      <c r="C34" s="3" t="s">
        <v>10</v>
      </c>
      <c r="D34" s="3">
        <v>21</v>
      </c>
      <c r="E34" s="5">
        <v>160000</v>
      </c>
      <c r="F34" s="4">
        <f t="shared" si="0"/>
        <v>3360000</v>
      </c>
      <c r="G34" s="6" t="s">
        <v>11</v>
      </c>
      <c r="H34" s="5" t="s">
        <v>12</v>
      </c>
      <c r="I34" s="6" t="s">
        <v>48</v>
      </c>
    </row>
    <row r="35" spans="1:9">
      <c r="A35" s="3">
        <v>50</v>
      </c>
      <c r="B35" s="3" t="s">
        <v>49</v>
      </c>
      <c r="C35" s="3" t="s">
        <v>10</v>
      </c>
      <c r="D35" s="3">
        <v>25</v>
      </c>
      <c r="E35" s="5"/>
      <c r="F35" s="4">
        <f t="shared" si="0"/>
        <v>0</v>
      </c>
      <c r="G35" s="8"/>
      <c r="H35" s="5" t="s">
        <v>12</v>
      </c>
      <c r="I35" s="8"/>
    </row>
    <row r="36" spans="1:9">
      <c r="A36" s="3">
        <v>51</v>
      </c>
      <c r="B36" s="3" t="s">
        <v>50</v>
      </c>
      <c r="C36" s="3" t="s">
        <v>10</v>
      </c>
      <c r="D36" s="3">
        <v>68</v>
      </c>
      <c r="E36" s="5">
        <v>100000</v>
      </c>
      <c r="F36" s="4">
        <f t="shared" si="0"/>
        <v>6800000</v>
      </c>
      <c r="G36" s="5" t="s">
        <v>51</v>
      </c>
      <c r="H36" s="5" t="s">
        <v>12</v>
      </c>
      <c r="I36" s="4"/>
    </row>
    <row r="37" spans="1:9">
      <c r="A37" s="3">
        <v>53</v>
      </c>
      <c r="B37" s="3" t="s">
        <v>52</v>
      </c>
      <c r="C37" s="3" t="s">
        <v>10</v>
      </c>
      <c r="D37" s="3">
        <v>35</v>
      </c>
      <c r="E37" s="5">
        <v>100000</v>
      </c>
      <c r="F37" s="4">
        <f t="shared" si="0"/>
        <v>3500000</v>
      </c>
      <c r="G37" s="6" t="s">
        <v>25</v>
      </c>
      <c r="H37" s="5" t="s">
        <v>12</v>
      </c>
      <c r="I37" s="6" t="s">
        <v>48</v>
      </c>
    </row>
    <row r="38" spans="1:9">
      <c r="A38" s="3">
        <v>54</v>
      </c>
      <c r="B38" s="3" t="s">
        <v>53</v>
      </c>
      <c r="C38" s="3" t="s">
        <v>10</v>
      </c>
      <c r="D38" s="3">
        <v>23</v>
      </c>
      <c r="E38" s="5">
        <v>120000</v>
      </c>
      <c r="F38" s="4">
        <f t="shared" si="0"/>
        <v>2760000</v>
      </c>
      <c r="G38" s="8"/>
      <c r="H38" s="5" t="s">
        <v>12</v>
      </c>
      <c r="I38" s="8"/>
    </row>
    <row r="39" spans="1:9">
      <c r="A39" s="3">
        <v>56</v>
      </c>
      <c r="B39" s="9" t="s">
        <v>54</v>
      </c>
      <c r="C39" s="3" t="s">
        <v>10</v>
      </c>
      <c r="D39" s="3"/>
      <c r="E39" s="5"/>
      <c r="F39" s="4">
        <f t="shared" si="0"/>
        <v>0</v>
      </c>
      <c r="G39" s="10"/>
      <c r="H39" s="5" t="s">
        <v>12</v>
      </c>
      <c r="I39" s="10"/>
    </row>
    <row r="40" spans="1:9">
      <c r="A40" s="3">
        <v>57</v>
      </c>
      <c r="B40" s="3" t="s">
        <v>55</v>
      </c>
      <c r="C40" s="3" t="s">
        <v>10</v>
      </c>
      <c r="D40" s="3">
        <v>12</v>
      </c>
      <c r="E40" s="5">
        <v>120000</v>
      </c>
      <c r="F40" s="4">
        <f t="shared" si="0"/>
        <v>1440000</v>
      </c>
      <c r="G40" s="6" t="s">
        <v>25</v>
      </c>
      <c r="H40" s="5" t="s">
        <v>27</v>
      </c>
      <c r="I40" s="6" t="s">
        <v>48</v>
      </c>
    </row>
    <row r="41" spans="1:9">
      <c r="A41" s="3">
        <v>58</v>
      </c>
      <c r="B41" s="3" t="s">
        <v>56</v>
      </c>
      <c r="C41" s="3" t="s">
        <v>10</v>
      </c>
      <c r="D41" s="3">
        <v>14</v>
      </c>
      <c r="E41" s="5"/>
      <c r="F41" s="4">
        <f t="shared" si="0"/>
        <v>0</v>
      </c>
      <c r="G41" s="8"/>
      <c r="H41" s="5" t="s">
        <v>12</v>
      </c>
      <c r="I41" s="8"/>
    </row>
    <row r="42" spans="1:9">
      <c r="A42" s="3">
        <v>72</v>
      </c>
      <c r="B42" s="9" t="s">
        <v>57</v>
      </c>
      <c r="C42" s="3" t="s">
        <v>10</v>
      </c>
      <c r="D42" s="3">
        <v>15</v>
      </c>
      <c r="E42" s="5"/>
      <c r="F42" s="4">
        <f t="shared" si="0"/>
        <v>0</v>
      </c>
      <c r="G42" s="11"/>
      <c r="H42" s="5" t="s">
        <v>12</v>
      </c>
      <c r="I42" s="3" t="s">
        <v>58</v>
      </c>
    </row>
    <row r="43" spans="1:9">
      <c r="A43" s="3">
        <v>78</v>
      </c>
      <c r="B43" s="9" t="s">
        <v>59</v>
      </c>
      <c r="C43" s="3" t="s">
        <v>10</v>
      </c>
      <c r="D43" s="3">
        <v>4</v>
      </c>
      <c r="E43" s="5"/>
      <c r="F43" s="4">
        <f t="shared" si="0"/>
        <v>0</v>
      </c>
      <c r="G43" s="11"/>
      <c r="H43" s="5" t="s">
        <v>12</v>
      </c>
      <c r="I43" s="3" t="s">
        <v>60</v>
      </c>
    </row>
    <row r="44" spans="1:9">
      <c r="A44" s="3">
        <v>79</v>
      </c>
      <c r="B44" s="3" t="s">
        <v>61</v>
      </c>
      <c r="C44" s="3" t="s">
        <v>10</v>
      </c>
      <c r="D44" s="3">
        <v>94</v>
      </c>
      <c r="E44" s="5"/>
      <c r="F44" s="4">
        <f t="shared" si="0"/>
        <v>0</v>
      </c>
      <c r="G44" s="11"/>
      <c r="H44" s="5" t="s">
        <v>12</v>
      </c>
      <c r="I44" s="3" t="s">
        <v>58</v>
      </c>
    </row>
    <row r="45" spans="1:9">
      <c r="A45" s="3">
        <v>95</v>
      </c>
      <c r="B45" s="3" t="s">
        <v>62</v>
      </c>
      <c r="C45" s="3" t="s">
        <v>10</v>
      </c>
      <c r="D45" s="3">
        <v>122</v>
      </c>
      <c r="E45" s="5">
        <v>40000</v>
      </c>
      <c r="F45" s="4">
        <f t="shared" si="0"/>
        <v>4880000</v>
      </c>
      <c r="G45" s="5" t="s">
        <v>11</v>
      </c>
      <c r="H45" s="5" t="s">
        <v>15</v>
      </c>
      <c r="I45" s="4"/>
    </row>
    <row r="46" spans="1:9">
      <c r="A46" s="3">
        <v>97</v>
      </c>
      <c r="B46" s="3" t="s">
        <v>63</v>
      </c>
      <c r="C46" s="3" t="s">
        <v>10</v>
      </c>
      <c r="D46" s="3">
        <v>84</v>
      </c>
      <c r="E46" s="5">
        <v>40000</v>
      </c>
      <c r="F46" s="4">
        <f t="shared" si="0"/>
        <v>3360000</v>
      </c>
      <c r="G46" s="5" t="s">
        <v>11</v>
      </c>
      <c r="H46" s="5" t="s">
        <v>12</v>
      </c>
      <c r="I46" s="4"/>
    </row>
    <row r="47" spans="1:9">
      <c r="A47" s="3">
        <v>98</v>
      </c>
      <c r="B47" s="3" t="s">
        <v>64</v>
      </c>
      <c r="C47" s="3" t="s">
        <v>10</v>
      </c>
      <c r="D47" s="3">
        <v>65</v>
      </c>
      <c r="E47" s="5">
        <v>60000</v>
      </c>
      <c r="F47" s="4">
        <f t="shared" si="0"/>
        <v>3900000</v>
      </c>
      <c r="G47" s="5" t="s">
        <v>11</v>
      </c>
      <c r="H47" s="5" t="s">
        <v>12</v>
      </c>
      <c r="I47" s="4"/>
    </row>
    <row r="48" spans="1:9">
      <c r="A48" s="3">
        <v>99</v>
      </c>
      <c r="B48" s="3" t="s">
        <v>65</v>
      </c>
      <c r="C48" s="3" t="s">
        <v>10</v>
      </c>
      <c r="D48" s="3">
        <v>56</v>
      </c>
      <c r="E48" s="5"/>
      <c r="F48" s="4">
        <f t="shared" si="0"/>
        <v>0</v>
      </c>
      <c r="G48" s="5" t="s">
        <v>11</v>
      </c>
      <c r="H48" s="5" t="s">
        <v>12</v>
      </c>
      <c r="I48" s="4" t="s">
        <v>66</v>
      </c>
    </row>
    <row r="49" spans="1:9">
      <c r="A49" s="3">
        <v>100</v>
      </c>
      <c r="B49" s="3" t="s">
        <v>67</v>
      </c>
      <c r="C49" s="3" t="s">
        <v>10</v>
      </c>
      <c r="D49" s="3">
        <v>36</v>
      </c>
      <c r="E49" s="5"/>
      <c r="F49" s="4">
        <f t="shared" si="0"/>
        <v>0</v>
      </c>
      <c r="G49" s="5" t="s">
        <v>11</v>
      </c>
      <c r="H49" s="5" t="s">
        <v>12</v>
      </c>
      <c r="I49" s="4" t="s">
        <v>66</v>
      </c>
    </row>
    <row r="50" spans="1:9">
      <c r="A50" s="3">
        <v>101</v>
      </c>
      <c r="B50" s="3" t="s">
        <v>68</v>
      </c>
      <c r="C50" s="3" t="s">
        <v>10</v>
      </c>
      <c r="D50" s="3">
        <v>68</v>
      </c>
      <c r="E50" s="5"/>
      <c r="F50" s="4">
        <f t="shared" si="0"/>
        <v>0</v>
      </c>
      <c r="G50" s="5" t="s">
        <v>11</v>
      </c>
      <c r="H50" s="5" t="s">
        <v>12</v>
      </c>
      <c r="I50" s="4" t="s">
        <v>66</v>
      </c>
    </row>
    <row r="51" spans="1:9">
      <c r="A51" s="3">
        <v>102</v>
      </c>
      <c r="B51" s="3" t="s">
        <v>69</v>
      </c>
      <c r="C51" s="3" t="s">
        <v>10</v>
      </c>
      <c r="D51" s="3">
        <v>45</v>
      </c>
      <c r="E51" s="5"/>
      <c r="F51" s="4">
        <f t="shared" si="0"/>
        <v>0</v>
      </c>
      <c r="G51" s="5" t="s">
        <v>11</v>
      </c>
      <c r="H51" s="5" t="s">
        <v>12</v>
      </c>
      <c r="I51" s="4" t="s">
        <v>66</v>
      </c>
    </row>
    <row r="52" spans="1:9">
      <c r="A52" s="3">
        <v>103</v>
      </c>
      <c r="B52" s="3" t="s">
        <v>70</v>
      </c>
      <c r="C52" s="3" t="s">
        <v>10</v>
      </c>
      <c r="D52" s="3">
        <v>252</v>
      </c>
      <c r="E52" s="5">
        <v>40000</v>
      </c>
      <c r="F52" s="4">
        <f t="shared" si="0"/>
        <v>10080000</v>
      </c>
      <c r="G52" s="5" t="s">
        <v>11</v>
      </c>
      <c r="H52" s="5" t="s">
        <v>12</v>
      </c>
      <c r="I52" s="4"/>
    </row>
    <row r="53" spans="1:9">
      <c r="A53" s="3">
        <v>104</v>
      </c>
      <c r="B53" s="3" t="s">
        <v>71</v>
      </c>
      <c r="C53" s="3" t="s">
        <v>10</v>
      </c>
      <c r="D53" s="3">
        <v>338</v>
      </c>
      <c r="E53" s="5">
        <v>40000</v>
      </c>
      <c r="F53" s="4">
        <f t="shared" si="0"/>
        <v>13520000</v>
      </c>
      <c r="G53" s="5" t="s">
        <v>11</v>
      </c>
      <c r="H53" s="5" t="s">
        <v>12</v>
      </c>
      <c r="I53" s="4"/>
    </row>
    <row r="54" spans="1:9">
      <c r="A54" s="3">
        <v>105</v>
      </c>
      <c r="B54" s="3" t="s">
        <v>72</v>
      </c>
      <c r="C54" s="3" t="s">
        <v>10</v>
      </c>
      <c r="D54" s="3">
        <v>223</v>
      </c>
      <c r="E54" s="5">
        <v>40000</v>
      </c>
      <c r="F54" s="4">
        <f t="shared" si="0"/>
        <v>8920000</v>
      </c>
      <c r="G54" s="5" t="s">
        <v>11</v>
      </c>
      <c r="H54" s="5" t="s">
        <v>12</v>
      </c>
      <c r="I54" s="4" t="s">
        <v>73</v>
      </c>
    </row>
    <row r="55" spans="1:9">
      <c r="A55" s="3">
        <v>106</v>
      </c>
      <c r="B55" s="3" t="s">
        <v>74</v>
      </c>
      <c r="C55" s="3" t="s">
        <v>75</v>
      </c>
      <c r="D55" s="3">
        <v>92</v>
      </c>
      <c r="E55" s="5">
        <v>60000</v>
      </c>
      <c r="F55" s="4">
        <f t="shared" si="0"/>
        <v>5520000</v>
      </c>
      <c r="G55" s="5" t="s">
        <v>25</v>
      </c>
      <c r="H55" s="5" t="s">
        <v>76</v>
      </c>
      <c r="I55" s="4"/>
    </row>
    <row r="56" spans="1:9">
      <c r="A56" s="3">
        <v>107</v>
      </c>
      <c r="B56" s="3" t="s">
        <v>77</v>
      </c>
      <c r="C56" s="3" t="s">
        <v>75</v>
      </c>
      <c r="D56" s="3">
        <v>7</v>
      </c>
      <c r="E56" s="5">
        <v>60000</v>
      </c>
      <c r="F56" s="4">
        <f t="shared" si="0"/>
        <v>420000</v>
      </c>
      <c r="G56" s="5" t="s">
        <v>25</v>
      </c>
      <c r="H56" s="5" t="s">
        <v>78</v>
      </c>
      <c r="I56" s="4" t="s">
        <v>79</v>
      </c>
    </row>
    <row r="57" spans="1:9">
      <c r="A57" s="3">
        <v>108</v>
      </c>
      <c r="B57" s="3" t="s">
        <v>80</v>
      </c>
      <c r="C57" s="3" t="s">
        <v>75</v>
      </c>
      <c r="D57" s="3">
        <v>67</v>
      </c>
      <c r="E57" s="5">
        <v>40000</v>
      </c>
      <c r="F57" s="4">
        <f t="shared" si="0"/>
        <v>2680000</v>
      </c>
      <c r="G57" s="5" t="s">
        <v>25</v>
      </c>
      <c r="H57" s="5" t="s">
        <v>81</v>
      </c>
      <c r="I57" s="4"/>
    </row>
    <row r="58" spans="1:9">
      <c r="A58" s="3">
        <v>109</v>
      </c>
      <c r="B58" s="12" t="s">
        <v>82</v>
      </c>
      <c r="C58" s="3" t="s">
        <v>10</v>
      </c>
      <c r="D58" s="3">
        <v>30</v>
      </c>
      <c r="E58" s="5">
        <v>40000</v>
      </c>
      <c r="F58" s="4">
        <f t="shared" si="0"/>
        <v>1200000</v>
      </c>
      <c r="G58" s="5" t="s">
        <v>25</v>
      </c>
      <c r="H58" s="5" t="s">
        <v>12</v>
      </c>
      <c r="I58" s="4"/>
    </row>
    <row r="59" spans="1:9">
      <c r="A59" s="3">
        <v>110</v>
      </c>
      <c r="B59" s="3" t="s">
        <v>83</v>
      </c>
      <c r="C59" s="3" t="s">
        <v>75</v>
      </c>
      <c r="D59" s="3">
        <v>11</v>
      </c>
      <c r="E59" s="5"/>
      <c r="F59" s="4">
        <f t="shared" si="0"/>
        <v>0</v>
      </c>
      <c r="G59" s="5"/>
      <c r="H59" s="5" t="s">
        <v>12</v>
      </c>
      <c r="I59" s="4" t="s">
        <v>84</v>
      </c>
    </row>
    <row r="61" spans="1:9" s="13" customFormat="1">
      <c r="A61" s="16" t="s">
        <v>85</v>
      </c>
      <c r="E61" s="15"/>
    </row>
    <row r="62" spans="1:9" s="13" customFormat="1">
      <c r="A62" s="16" t="s">
        <v>86</v>
      </c>
      <c r="E62" s="15"/>
    </row>
    <row r="63" spans="1:9" s="13" customFormat="1">
      <c r="A63" s="16" t="s">
        <v>87</v>
      </c>
      <c r="E63" s="15"/>
    </row>
    <row r="64" spans="1:9">
      <c r="A64" s="16" t="s">
        <v>88</v>
      </c>
    </row>
  </sheetData>
  <mergeCells count="18">
    <mergeCell ref="G34:G35"/>
    <mergeCell ref="I34:I35"/>
    <mergeCell ref="G37:G38"/>
    <mergeCell ref="I37:I38"/>
    <mergeCell ref="G40:G41"/>
    <mergeCell ref="I40:I41"/>
    <mergeCell ref="G25:G26"/>
    <mergeCell ref="I25:I26"/>
    <mergeCell ref="G28:G31"/>
    <mergeCell ref="I28:I31"/>
    <mergeCell ref="G32:G33"/>
    <mergeCell ref="I32:I33"/>
    <mergeCell ref="G5:G10"/>
    <mergeCell ref="I5:I10"/>
    <mergeCell ref="G17:G21"/>
    <mergeCell ref="I17:I21"/>
    <mergeCell ref="G23:G24"/>
    <mergeCell ref="I23:I24"/>
  </mergeCells>
  <dataValidations count="1">
    <dataValidation type="list" allowBlank="1" showInputMessage="1" showErrorMessage="1" sqref="B34" xr:uid="{F654913A-2F38-4DFD-9A74-35DA726F9C80}">
      <formula1>$B:$B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2026-10-27T08:09:50Z</dcterms:created>
  <dcterms:modified xsi:type="dcterms:W3CDTF">2026-10-27T08:30:06Z</dcterms:modified>
  <cp:category/>
  <cp:contentStatus/>
</cp:coreProperties>
</file>